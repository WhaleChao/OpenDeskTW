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儀表板" sheetId="1" state="visible" r:id="rId1"/>
    <sheet xmlns:r="http://schemas.openxmlformats.org/officeDocument/2006/relationships" name="資料表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系統資料" sheetId="4" state="hidden" r:id="rId4"/>
  </sheets>
  <definedNames>
    <definedName name="TaxRate">'設定'!$B$2</definedName>
    <definedName name="MonthlyProfit">'儀表板'!$D$3:$D$8</definedName>
    <definedName name="_xlnm._FilterDatabase" localSheetId="0" hidden="1">'儀表板'!$A$2:$E$9</definedName>
    <definedName name="_xlnm.Print_Titles" localSheetId="0">'儀表板'!$1:$2</definedName>
    <definedName name="_xlnm.Print_Area" localSheetId="0">'儀表板'!$A$1:$N$22</definedName>
    <definedName name="_xlnm._FilterDatabase" localSheetId="1" hidden="1">'資料表'!$A$1:$F$6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CJK TC"/>
      <b val="1"/>
      <color rgb="00FFFFFF"/>
      <sz val="20"/>
    </font>
    <font>
      <name val="Noto Sans CJK TC"/>
      <b val="1"/>
      <color rgb="00FFFFFF"/>
    </font>
    <font>
      <name val="Noto Sans CJK TC"/>
      <sz val="11"/>
    </font>
    <font>
      <name val="Noto Sans CJK TC"/>
      <b val="1"/>
      <sz val="11"/>
    </font>
    <font>
      <name val="Noto Sans CJK TC"/>
      <color rgb="00000000"/>
    </font>
  </fonts>
  <fills count="7">
    <fill>
      <patternFill/>
    </fill>
    <fill>
      <patternFill patternType="gray125"/>
    </fill>
    <fill>
      <patternFill patternType="solid">
        <fgColor rgb="000F3D56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0" fontId="4" fillId="5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5" borderId="1" applyAlignment="1" applyProtection="1" pivotButton="0" quotePrefix="0" xfId="0">
      <alignment vertical="center"/>
      <protection locked="0" hidden="0"/>
    </xf>
    <xf numFmtId="0" fontId="2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3" borderId="1" pivotButton="0" quotePrefix="0" xfId="0"/>
    <xf numFmtId="0" fontId="5" fillId="6" borderId="1" pivotButton="0" quotePrefix="0" xfId="0"/>
    <xf numFmtId="9" fontId="5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每月毛利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'儀表板'!D2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'儀表板'!$A$3:$A$8</f>
            </numRef>
          </cat>
          <val>
            <numRef>
              <f>'儀表板'!$D$3:$D$8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OpenDesk TW</author>
  </authors>
  <commentList>
    <comment ref="B10" authorId="0" shapeId="0">
      <text>
        <t>毛利目標可由管理者調整；用來驗證儲存格註解。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860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Performance" displayName="MonthlyPerformance" ref="A2:E9" headerRowCount="1">
  <autoFilter ref="A2:E9"/>
  <tableColumns count="5">
    <tableColumn id="1" name="月份"/>
    <tableColumn id="2" name="收入"/>
    <tableColumn id="3" name="成本"/>
    <tableColumn id="4" name="毛利"/>
    <tableColumn id="5" name="達成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Data" displayName="TransactionData" ref="A1:F6" headerRowCount="1">
  <autoFilter ref="A1:F6"/>
  <tableColumns count="6">
    <tableColumn id="1" name="日期"/>
    <tableColumn id="2" name="部門"/>
    <tableColumn id="3" name="品項"/>
    <tableColumn id="4" name="數量"/>
    <tableColumn id="5" name="單價"/>
    <tableColumn id="6" name="小計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3" customWidth="1" min="6" max="6"/>
    <col width="16" customWidth="1" min="7" max="7"/>
  </cols>
  <sheetData>
    <row r="1" ht="34" customHeight="1">
      <c r="A1" s="1" t="inlineStr">
        <is>
          <t>OpenDesk TW 試算表進階功能矩陣</t>
        </is>
      </c>
    </row>
    <row r="2">
      <c r="A2" s="2" t="inlineStr">
        <is>
          <t>月份</t>
        </is>
      </c>
      <c r="B2" s="2" t="inlineStr">
        <is>
          <t>收入</t>
        </is>
      </c>
      <c r="C2" s="2" t="inlineStr">
        <is>
          <t>成本</t>
        </is>
      </c>
      <c r="D2" s="2" t="inlineStr">
        <is>
          <t>毛利</t>
        </is>
      </c>
      <c r="E2" s="2" t="inlineStr">
        <is>
          <t>達成率</t>
        </is>
      </c>
      <c r="G2" s="3" t="inlineStr">
        <is>
          <t>狀態</t>
        </is>
      </c>
    </row>
    <row r="3">
      <c r="A3" s="4" t="inlineStr">
        <is>
          <t>一月</t>
        </is>
      </c>
      <c r="B3" s="5" t="n">
        <v>120000</v>
      </c>
      <c r="C3" s="5" t="n">
        <v>72000</v>
      </c>
      <c r="D3" s="5">
        <f>B3-C3</f>
        <v/>
      </c>
      <c r="E3" s="6">
        <f>D3/$B$10</f>
        <v/>
      </c>
      <c r="G3" s="7" t="inlineStr">
        <is>
          <t>審核中</t>
        </is>
      </c>
    </row>
    <row r="4">
      <c r="A4" s="4" t="inlineStr">
        <is>
          <t>二月</t>
        </is>
      </c>
      <c r="B4" s="5" t="n">
        <v>138000</v>
      </c>
      <c r="C4" s="5" t="n">
        <v>79000</v>
      </c>
      <c r="D4" s="5">
        <f>B4-C4</f>
        <v/>
      </c>
      <c r="E4" s="6">
        <f>D4/$B$10</f>
        <v/>
      </c>
    </row>
    <row r="5">
      <c r="A5" s="4" t="inlineStr">
        <is>
          <t>三月</t>
        </is>
      </c>
      <c r="B5" s="5" t="n">
        <v>151000</v>
      </c>
      <c r="C5" s="5" t="n">
        <v>82500</v>
      </c>
      <c r="D5" s="5">
        <f>B5-C5</f>
        <v/>
      </c>
      <c r="E5" s="6">
        <f>D5/$B$10</f>
        <v/>
      </c>
    </row>
    <row r="6">
      <c r="A6" s="4" t="inlineStr">
        <is>
          <t>四月</t>
        </is>
      </c>
      <c r="B6" s="5" t="n">
        <v>146000</v>
      </c>
      <c r="C6" s="5" t="n">
        <v>81000</v>
      </c>
      <c r="D6" s="5">
        <f>B6-C6</f>
        <v/>
      </c>
      <c r="E6" s="6">
        <f>D6/$B$10</f>
        <v/>
      </c>
    </row>
    <row r="7">
      <c r="A7" s="4" t="inlineStr">
        <is>
          <t>五月</t>
        </is>
      </c>
      <c r="B7" s="5" t="n">
        <v>163000</v>
      </c>
      <c r="C7" s="5" t="n">
        <v>88500</v>
      </c>
      <c r="D7" s="5">
        <f>B7-C7</f>
        <v/>
      </c>
      <c r="E7" s="6">
        <f>D7/$B$10</f>
        <v/>
      </c>
    </row>
    <row r="8">
      <c r="A8" s="4" t="inlineStr">
        <is>
          <t>六月</t>
        </is>
      </c>
      <c r="B8" s="5" t="n">
        <v>176000</v>
      </c>
      <c r="C8" s="5" t="n">
        <v>94000</v>
      </c>
      <c r="D8" s="5">
        <f>B8-C8</f>
        <v/>
      </c>
      <c r="E8" s="6">
        <f>D8/$B$10</f>
        <v/>
      </c>
    </row>
    <row r="9">
      <c r="A9" s="8" t="inlineStr">
        <is>
          <t>合計</t>
        </is>
      </c>
      <c r="B9" s="9">
        <f>SUM(B3:B8)</f>
        <v/>
      </c>
      <c r="C9" s="9">
        <f>SUM(C3:C8)</f>
        <v/>
      </c>
      <c r="D9" s="9">
        <f>SUM(D3:D8)</f>
        <v/>
      </c>
      <c r="E9" s="10">
        <f>AVERAGE(E3:E8)</f>
        <v/>
      </c>
    </row>
    <row r="10">
      <c r="A10" s="8" t="inlineStr">
        <is>
          <t>毛利目標</t>
        </is>
      </c>
      <c r="B10" s="11" t="n">
        <v>75000</v>
      </c>
      <c r="C10" s="8" t="inlineStr"/>
      <c r="D10" s="8" t="inlineStr">
        <is>
          <t>跨工作表稅率</t>
        </is>
      </c>
      <c r="E10" s="8">
        <f>設定!B2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811"/>
  <autoFilter ref="A2:E9"/>
  <mergeCells count="1">
    <mergeCell ref="A1:E1"/>
  </mergeCells>
  <conditionalFormatting sqref="D3:D8">
    <cfRule type="cellIs" priority="1" operator="greaterThanOrEqual" dxfId="0">
      <formula>$B$10</formula>
    </cfRule>
  </conditionalFormatting>
  <conditionalFormatting sqref="E3:E8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dataValidations count="1">
    <dataValidation sqref="G3" showDropDown="0" showInputMessage="0" showErrorMessage="0" allowBlank="0" type="list">
      <formula1>"草稿,審核中,已完成"</formula1>
    </dataValidation>
  </dataValidations>
  <pageMargins left="0.75" right="0.75" top="1" bottom="1" header="0.5" footer="0.5"/>
  <pageSetup orientation="landscape" paperSize="9" fitToHeight="1" fitToWidth="1"/>
  <headerFooter>
    <oddHeader>&amp;COpenDesk TW 試算表功能驗證</oddHeader>
    <oddFooter>&amp;C第 &amp;P 頁／共 &amp;N 頁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>
      <c r="A1" s="12" t="inlineStr">
        <is>
          <t>日期</t>
        </is>
      </c>
      <c r="B1" s="12" t="inlineStr">
        <is>
          <t>部門</t>
        </is>
      </c>
      <c r="C1" s="12" t="inlineStr">
        <is>
          <t>品項</t>
        </is>
      </c>
      <c r="D1" s="12" t="inlineStr">
        <is>
          <t>數量</t>
        </is>
      </c>
      <c r="E1" s="12" t="inlineStr">
        <is>
          <t>單價</t>
        </is>
      </c>
      <c r="F1" s="12" t="inlineStr">
        <is>
          <t>小計</t>
        </is>
      </c>
    </row>
    <row r="2">
      <c r="A2" s="13" t="inlineStr">
        <is>
          <t>2026-01-05</t>
        </is>
      </c>
      <c r="B2" s="13" t="inlineStr">
        <is>
          <t>北區</t>
        </is>
      </c>
      <c r="C2" s="13" t="inlineStr">
        <is>
          <t>顧問服務</t>
        </is>
      </c>
      <c r="D2" s="13" t="n">
        <v>3</v>
      </c>
      <c r="E2" s="13" t="n">
        <v>42000</v>
      </c>
      <c r="F2" s="13">
        <f>D2*E2</f>
        <v/>
      </c>
    </row>
    <row r="3">
      <c r="A3" s="13" t="inlineStr">
        <is>
          <t>2026-02-12</t>
        </is>
      </c>
      <c r="B3" s="13" t="inlineStr">
        <is>
          <t>中區</t>
        </is>
      </c>
      <c r="C3" s="13" t="inlineStr">
        <is>
          <t>教育訓練</t>
        </is>
      </c>
      <c r="D3" s="13" t="n">
        <v>5</v>
      </c>
      <c r="E3" s="13" t="n">
        <v>18000</v>
      </c>
      <c r="F3" s="13">
        <f>D3*E3</f>
        <v/>
      </c>
    </row>
    <row r="4" outlineLevel="1">
      <c r="A4" s="13" t="inlineStr">
        <is>
          <t>2026-03-18</t>
        </is>
      </c>
      <c r="B4" s="13" t="inlineStr">
        <is>
          <t>南區</t>
        </is>
      </c>
      <c r="C4" s="13" t="inlineStr">
        <is>
          <t>文件轉換</t>
        </is>
      </c>
      <c r="D4" s="13" t="n">
        <v>12</v>
      </c>
      <c r="E4" s="13" t="n">
        <v>3500</v>
      </c>
      <c r="F4" s="13">
        <f>D4*E4</f>
        <v/>
      </c>
    </row>
    <row r="5" outlineLevel="1">
      <c r="A5" s="13" t="inlineStr">
        <is>
          <t>2026-04-21</t>
        </is>
      </c>
      <c r="B5" s="13" t="inlineStr">
        <is>
          <t>北區</t>
        </is>
      </c>
      <c r="C5" s="13" t="inlineStr">
        <is>
          <t>維護服務</t>
        </is>
      </c>
      <c r="D5" s="13" t="n">
        <v>6</v>
      </c>
      <c r="E5" s="13" t="n">
        <v>12000</v>
      </c>
      <c r="F5" s="13">
        <f>D5*E5</f>
        <v/>
      </c>
    </row>
    <row r="6">
      <c r="A6" s="13" t="inlineStr">
        <is>
          <t>2026-05-30</t>
        </is>
      </c>
      <c r="B6" s="13" t="inlineStr">
        <is>
          <t>中區</t>
        </is>
      </c>
      <c r="C6" s="13" t="inlineStr">
        <is>
          <t>顧問服務</t>
        </is>
      </c>
      <c r="D6" s="13" t="n">
        <v>2</v>
      </c>
      <c r="E6" s="13" t="n">
        <v>46000</v>
      </c>
      <c r="F6" s="13">
        <f>D6*E6</f>
        <v/>
      </c>
    </row>
  </sheetData>
  <autoFilter ref="A1:F6"/>
  <pageMargins left="0.75" right="0.75" top="1" bottom="1" header="0.5" footer="0.5"/>
  <pageSetup paperSize="9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4" t="inlineStr">
        <is>
          <t>設定</t>
        </is>
      </c>
      <c r="B1" s="14" t="inlineStr">
        <is>
          <t>值</t>
        </is>
      </c>
    </row>
    <row r="2">
      <c r="A2" s="15" t="inlineStr">
        <is>
          <t>稅率</t>
        </is>
      </c>
      <c r="B2" s="16" t="n">
        <v>0.05</v>
      </c>
    </row>
    <row r="3">
      <c r="A3" s="15" t="inlineStr">
        <is>
          <t>地區</t>
        </is>
      </c>
      <c r="B3" s="15" t="inlineStr">
        <is>
          <t>臺灣</t>
        </is>
      </c>
    </row>
    <row r="4">
      <c r="A4" s="15" t="inlineStr">
        <is>
          <t>預設字型</t>
        </is>
      </c>
      <c r="B4" s="15" t="inlineStr">
        <is>
          <t>Noto Sans CJK 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鍵</t>
        </is>
      </c>
      <c r="B1" t="inlineStr">
        <is>
          <t>值</t>
        </is>
      </c>
    </row>
    <row r="2">
      <c r="A2" t="inlineStr">
        <is>
          <t>產生器</t>
        </is>
      </c>
      <c r="B2" t="inlineStr">
        <is>
          <t>OpenDesk TW</t>
        </is>
      </c>
    </row>
    <row r="3">
      <c r="A3" t="inlineStr">
        <is>
          <t>版本</t>
        </is>
      </c>
      <c r="B3" t="inlineStr">
        <is>
          <t>1.4.0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2026-07-21T06:47:48Z</dcterms:created>
  <dcterms:modified xmlns:dcterms="http://purl.org/dc/terms/" xmlns:xsi="http://www.w3.org/2001/XMLSchema-instance" xsi:type="dcterms:W3CDTF">2026-07-21T06:47:48Z</dcterms:modified>
</cp:coreProperties>
</file>